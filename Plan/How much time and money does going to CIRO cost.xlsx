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36" i="1" l="1"/>
  <c r="A33" i="1"/>
  <c r="D33" i="1" l="1"/>
  <c r="B8" i="1"/>
  <c r="F8" i="1" s="1"/>
  <c r="B5" i="1"/>
  <c r="F5" i="1" s="1"/>
  <c r="B4" i="1"/>
  <c r="B7" i="1" s="1"/>
  <c r="F7" i="1" s="1"/>
  <c r="B22" i="1" l="1"/>
  <c r="B18" i="1"/>
  <c r="F22" i="1" s="1"/>
  <c r="F18" i="1"/>
  <c r="B19" i="1"/>
  <c r="F23" i="1" s="1"/>
  <c r="B23" i="1"/>
  <c r="F19" i="1"/>
  <c r="F4" i="1"/>
  <c r="B28" i="1" s="1"/>
  <c r="B9" i="1"/>
  <c r="F9" i="1" s="1"/>
  <c r="B20" i="1" l="1"/>
  <c r="B24" i="1"/>
  <c r="F20" i="1"/>
  <c r="F24" i="1" l="1"/>
</calcChain>
</file>

<file path=xl/sharedStrings.xml><?xml version="1.0" encoding="utf-8"?>
<sst xmlns="http://schemas.openxmlformats.org/spreadsheetml/2006/main" count="32" uniqueCount="32">
  <si>
    <t xml:space="preserve">Total patient </t>
  </si>
  <si>
    <t>Total measurement</t>
  </si>
  <si>
    <t>Patient assessed</t>
  </si>
  <si>
    <t>Patient remaining</t>
  </si>
  <si>
    <t>Total measurement remaining</t>
  </si>
  <si>
    <t>Total patient</t>
  </si>
  <si>
    <t>Patient that should be assessed by Gabriele in total</t>
  </si>
  <si>
    <t>Patient assessed by Gabriele by now</t>
  </si>
  <si>
    <t>Remaining patient that should be assessed by Gabriele by now</t>
  </si>
  <si>
    <t>Remaining measurement for Gabriele</t>
  </si>
  <si>
    <t>Time travelling for 1 measurement (h)</t>
  </si>
  <si>
    <t>Cost travel 1 measurement (euro)</t>
  </si>
  <si>
    <t>Total time that will be spend travelling (h)</t>
  </si>
  <si>
    <t>Time spent travelling (h)</t>
  </si>
  <si>
    <t>Remaining time that will be spent travelling (h)</t>
  </si>
  <si>
    <t>Total cost travelling</t>
  </si>
  <si>
    <t>Cost until now</t>
  </si>
  <si>
    <t>Cost remaining</t>
  </si>
  <si>
    <t>Total time that needs to be spent in preprocessing</t>
  </si>
  <si>
    <t>Time to process 1 measurement (estimated hours)</t>
  </si>
  <si>
    <t>Time for 1 measurement</t>
  </si>
  <si>
    <t>Total time that will be spent doing measurement (h)</t>
  </si>
  <si>
    <t>Time spent doing measurement (h)</t>
  </si>
  <si>
    <t>Total workind days ONLY to go to CIRO and assist to the measurements</t>
  </si>
  <si>
    <t>Total months only to go to CIRO and assist to the measurements</t>
  </si>
  <si>
    <t>Total costs in euros (only travelling to CIRO)</t>
  </si>
  <si>
    <t>Measurements done by Gab by now</t>
  </si>
  <si>
    <t>Total measurements for Gabriele</t>
  </si>
  <si>
    <t>Remaining time that will be spend doing meas (h)</t>
  </si>
  <si>
    <t>Total Time asked to Gabriele (meas + travelling h)</t>
  </si>
  <si>
    <t>Total Gabriele already spent (meas + travelling h)</t>
  </si>
  <si>
    <t>Remaining time asked (meas + travelling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</si>
</sst>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2" borderId="0" xfId="1" applyAlignment="1">
      <alignment vertical="top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A37" sqref="A37"/>
    </sheetView>
  </sheetViews>
  <sheetFormatPr defaultRowHeight="15" x14ac:dyDescent="0.25"/>
  <cols>
    <col min="1" max="1" width="63.7109375" style="1" customWidth="1"/>
    <col min="2" max="2" width="9.140625" style="1"/>
    <col min="3" max="3" width="12.85546875" style="1" customWidth="1"/>
    <col min="4" max="4" width="38.7109375" style="1" customWidth="1"/>
    <col min="5" max="5" width="45.140625" style="1" customWidth="1"/>
    <col min="6" max="6" width="9.140625" style="1"/>
    <col min="7" max="7" width="12.42578125" style="1" customWidth="1"/>
    <col min="8" max="8" width="47.42578125" style="1" customWidth="1"/>
    <col min="9" max="16384" width="9.140625" style="1"/>
  </cols>
  <sheetData>
    <row r="1" spans="1:6" x14ac:dyDescent="0.25">
      <c r="A1" s="1" t="s">
        <v>5</v>
      </c>
      <c r="B1" s="1">
        <v>158</v>
      </c>
    </row>
    <row r="2" spans="1:6" x14ac:dyDescent="0.25">
      <c r="A2" s="1" t="s">
        <v>2</v>
      </c>
      <c r="B2" s="1">
        <v>12</v>
      </c>
    </row>
    <row r="4" spans="1:6" x14ac:dyDescent="0.25">
      <c r="A4" s="1" t="s">
        <v>0</v>
      </c>
      <c r="B4" s="1">
        <f>B1</f>
        <v>158</v>
      </c>
      <c r="E4" s="1" t="s">
        <v>1</v>
      </c>
      <c r="F4" s="1">
        <f>B4*3</f>
        <v>474</v>
      </c>
    </row>
    <row r="5" spans="1:6" x14ac:dyDescent="0.25">
      <c r="A5" s="1" t="s">
        <v>3</v>
      </c>
      <c r="B5" s="1">
        <f>B1-B2</f>
        <v>146</v>
      </c>
      <c r="E5" s="1" t="s">
        <v>4</v>
      </c>
      <c r="F5" s="1">
        <f>B5*3</f>
        <v>438</v>
      </c>
    </row>
    <row r="7" spans="1:6" x14ac:dyDescent="0.25">
      <c r="A7" s="1" t="s">
        <v>6</v>
      </c>
      <c r="B7" s="1">
        <f>B4/3</f>
        <v>52.666666666666664</v>
      </c>
      <c r="E7" s="1" t="s">
        <v>27</v>
      </c>
      <c r="F7" s="1">
        <f>B7*3</f>
        <v>158</v>
      </c>
    </row>
    <row r="8" spans="1:6" x14ac:dyDescent="0.25">
      <c r="A8" s="1" t="s">
        <v>7</v>
      </c>
      <c r="B8" s="1">
        <f>B2/3</f>
        <v>4</v>
      </c>
      <c r="E8" s="1" t="s">
        <v>26</v>
      </c>
      <c r="F8" s="1">
        <f>B8*3</f>
        <v>12</v>
      </c>
    </row>
    <row r="9" spans="1:6" x14ac:dyDescent="0.25">
      <c r="A9" s="1" t="s">
        <v>8</v>
      </c>
      <c r="B9" s="1">
        <f>B5/3</f>
        <v>48.666666666666664</v>
      </c>
      <c r="E9" s="1" t="s">
        <v>9</v>
      </c>
      <c r="F9" s="1">
        <f>B9*3</f>
        <v>146</v>
      </c>
    </row>
    <row r="15" spans="1:6" x14ac:dyDescent="0.25">
      <c r="A15" s="1" t="s">
        <v>20</v>
      </c>
      <c r="B15" s="1">
        <v>1</v>
      </c>
    </row>
    <row r="16" spans="1:6" x14ac:dyDescent="0.25">
      <c r="A16" s="1" t="s">
        <v>10</v>
      </c>
      <c r="B16" s="1">
        <v>2</v>
      </c>
      <c r="E16" s="1" t="s">
        <v>11</v>
      </c>
      <c r="F16" s="1">
        <v>20</v>
      </c>
    </row>
    <row r="18" spans="1:6" x14ac:dyDescent="0.25">
      <c r="A18" t="s">
        <v>12</v>
      </c>
      <c r="B18">
        <f>F7*B16</f>
        <v>316</v>
      </c>
      <c r="C18"/>
      <c r="D18"/>
      <c r="E18" t="s">
        <v>15</v>
      </c>
      <c r="F18">
        <f>F7*F16</f>
        <v>3160</v>
      </c>
    </row>
    <row r="19" spans="1:6" x14ac:dyDescent="0.25">
      <c r="A19" t="s">
        <v>13</v>
      </c>
      <c r="B19">
        <f>F8*B16</f>
        <v>24</v>
      </c>
      <c r="C19"/>
      <c r="D19"/>
      <c r="E19" t="s">
        <v>16</v>
      </c>
      <c r="F19">
        <f>F8*F16</f>
        <v>240</v>
      </c>
    </row>
    <row r="20" spans="1:6" x14ac:dyDescent="0.25">
      <c r="A20" t="s">
        <v>14</v>
      </c>
      <c r="B20">
        <f>F9*B16</f>
        <v>292</v>
      </c>
      <c r="C20"/>
      <c r="D20"/>
      <c r="E20" t="s">
        <v>17</v>
      </c>
      <c r="F20">
        <f>F9*F16</f>
        <v>2920</v>
      </c>
    </row>
    <row r="21" spans="1:6" customFormat="1" x14ac:dyDescent="0.25"/>
    <row r="22" spans="1:6" x14ac:dyDescent="0.25">
      <c r="A22" t="s">
        <v>21</v>
      </c>
      <c r="B22">
        <f>F7*B15</f>
        <v>158</v>
      </c>
      <c r="C22"/>
      <c r="D22"/>
      <c r="E22" t="s">
        <v>29</v>
      </c>
      <c r="F22">
        <f>B18+B22</f>
        <v>474</v>
      </c>
    </row>
    <row r="23" spans="1:6" x14ac:dyDescent="0.25">
      <c r="A23" t="s">
        <v>22</v>
      </c>
      <c r="B23">
        <f>F8*B15</f>
        <v>12</v>
      </c>
      <c r="C23"/>
      <c r="D23"/>
      <c r="E23" t="s">
        <v>30</v>
      </c>
      <c r="F23">
        <f>B19+B23</f>
        <v>36</v>
      </c>
    </row>
    <row r="24" spans="1:6" x14ac:dyDescent="0.25">
      <c r="A24" t="s">
        <v>28</v>
      </c>
      <c r="B24">
        <f>F9*B15</f>
        <v>146</v>
      </c>
      <c r="C24"/>
      <c r="D24"/>
      <c r="E24" t="s">
        <v>31</v>
      </c>
      <c r="F24">
        <f>B20+B24</f>
        <v>438</v>
      </c>
    </row>
    <row r="27" spans="1:6" x14ac:dyDescent="0.25">
      <c r="A27" s="1" t="s">
        <v>19</v>
      </c>
      <c r="B27" s="1">
        <v>1</v>
      </c>
    </row>
    <row r="28" spans="1:6" x14ac:dyDescent="0.25">
      <c r="A28" s="1" t="s">
        <v>18</v>
      </c>
      <c r="B28" s="1">
        <f>B27*F4</f>
        <v>474</v>
      </c>
    </row>
    <row r="32" spans="1:6" x14ac:dyDescent="0.25">
      <c r="A32" s="2" t="s">
        <v>23</v>
      </c>
      <c r="D32" s="2" t="s">
        <v>25</v>
      </c>
    </row>
    <row r="33" spans="1:4" x14ac:dyDescent="0.25">
      <c r="A33" s="2">
        <f>F24/8</f>
        <v>54.75</v>
      </c>
      <c r="D33" s="2">
        <f>F18</f>
        <v>3160</v>
      </c>
    </row>
    <row r="35" spans="1:4" x14ac:dyDescent="0.25">
      <c r="A35" s="2" t="s">
        <v>24</v>
      </c>
    </row>
    <row r="36" spans="1:4" x14ac:dyDescent="0.25">
      <c r="A36" s="2">
        <f>A33/(4*5)</f>
        <v>2.7374999999999998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Philips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Philips</dc:creator>
  <cp:lastModifiedBy>Philips</cp:lastModifiedBy>
  <dcterms:created xsi:type="dcterms:W3CDTF">2014-12-03T13:30:49Z</dcterms:created>
  <dcterms:modified xsi:type="dcterms:W3CDTF">2014-12-04T09:11:44Z</dcterms:modified>
</cp:coreProperties>
</file>